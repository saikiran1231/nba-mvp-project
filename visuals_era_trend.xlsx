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ikiran/Desktop/excel project file/"/>
    </mc:Choice>
  </mc:AlternateContent>
  <xr:revisionPtr revIDLastSave="0" documentId="13_ncr:1_{D182C4A2-FD1C-A74C-A344-0CE922A79B54}" xr6:coauthVersionLast="47" xr6:coauthVersionMax="47" xr10:uidLastSave="{00000000-0000-0000-0000-000000000000}"/>
  <bookViews>
    <workbookView xWindow="19260" yWindow="660" windowWidth="18980" windowHeight="19100" activeTab="2" xr2:uid="{A2E84DC6-A484-604B-ABAC-BC9378689952}"/>
  </bookViews>
  <sheets>
    <sheet name="Sheet1" sheetId="1" r:id="rId1"/>
    <sheet name="Sheet2" sheetId="2" r:id="rId2"/>
    <sheet name="Sheet7" sheetId="7" r:id="rId3"/>
    <sheet name="Sheet8" sheetId="8" r:id="rId4"/>
  </sheets>
  <definedNames>
    <definedName name="era_avg_height" localSheetId="0">Sheet1!$A$1:$B$5</definedName>
    <definedName name="era_avg_reb_ast" localSheetId="1">Sheet2!$A$1:$C$5</definedName>
  </definedNames>
  <calcPr calcId="181029"/>
  <pivotCaches>
    <pivotCache cacheId="17" r:id="rId5"/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16216-7781-7145-9F86-B18F0BEA7637}" name="era_avg_height" type="6" refreshedVersion="8" background="1" saveData="1">
    <textPr codePage="65001" sourceFile="/Users/saikiran/Desktop/excel project file/era_avg_height.csv" comma="1">
      <textFields count="2">
        <textField/>
        <textField/>
      </textFields>
    </textPr>
  </connection>
  <connection id="2" xr16:uid="{854C778A-5B2C-BE4E-A451-197F043CEA5A}" name="era_avg_reb_ast" type="6" refreshedVersion="8" background="1" saveData="1">
    <textPr codePage="65001" sourceFile="/Users/saikiran/Desktop/excel project file/era_avg_reb_ast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<sst xmlns="http://schemas.openxmlformats.org/spreadsheetml/2006/main" count="74" uniqueCount="62">
  <si>
    <t>decade</t>
  </si>
  <si>
    <t>avg_height</t>
  </si>
  <si>
    <t>1990s</t>
  </si>
  <si>
    <t>2000s</t>
  </si>
  <si>
    <t>2010s</t>
  </si>
  <si>
    <t>2020s</t>
  </si>
  <si>
    <t>avg_rebounds</t>
  </si>
  <si>
    <t>avg_assists</t>
  </si>
  <si>
    <t>Michael Jordan</t>
  </si>
  <si>
    <t>CHI</t>
  </si>
  <si>
    <t>UTA</t>
  </si>
  <si>
    <t>CHH</t>
  </si>
  <si>
    <t>Shaquille O'Neal</t>
  </si>
  <si>
    <t>LAL</t>
  </si>
  <si>
    <t>SAC</t>
  </si>
  <si>
    <t>GSW</t>
  </si>
  <si>
    <t>Allen Iverson</t>
  </si>
  <si>
    <t>PHI</t>
  </si>
  <si>
    <t>HOU</t>
  </si>
  <si>
    <t>NYK</t>
  </si>
  <si>
    <t>DEN</t>
  </si>
  <si>
    <t>MIL</t>
  </si>
  <si>
    <t>BOS</t>
  </si>
  <si>
    <t>VAN</t>
  </si>
  <si>
    <t>WAS</t>
  </si>
  <si>
    <t>NJN</t>
  </si>
  <si>
    <t>SEA</t>
  </si>
  <si>
    <t>SAS</t>
  </si>
  <si>
    <t>DET</t>
  </si>
  <si>
    <t>TOR</t>
  </si>
  <si>
    <t>MIN</t>
  </si>
  <si>
    <t>Kobe Bryant</t>
  </si>
  <si>
    <t>Tracy McGrady</t>
  </si>
  <si>
    <t>ORL</t>
  </si>
  <si>
    <t>DAL</t>
  </si>
  <si>
    <t>NOH</t>
  </si>
  <si>
    <t>LeBron James</t>
  </si>
  <si>
    <t>CLE</t>
  </si>
  <si>
    <t>PHX</t>
  </si>
  <si>
    <t>IND</t>
  </si>
  <si>
    <t>Dwyane Wade</t>
  </si>
  <si>
    <t>MIA</t>
  </si>
  <si>
    <t>Carmelo Anthony</t>
  </si>
  <si>
    <t>Kevin Durant</t>
  </si>
  <si>
    <t>OKC</t>
  </si>
  <si>
    <t>Russell Westbrook</t>
  </si>
  <si>
    <t>POR</t>
  </si>
  <si>
    <t>James Harden</t>
  </si>
  <si>
    <t>Stephen Curry</t>
  </si>
  <si>
    <t>LAC</t>
  </si>
  <si>
    <t>NOP</t>
  </si>
  <si>
    <t>Joel Embiid</t>
  </si>
  <si>
    <t>ATL</t>
  </si>
  <si>
    <t>BKN</t>
  </si>
  <si>
    <t>MEM</t>
  </si>
  <si>
    <t>Column Labels</t>
  </si>
  <si>
    <t>Row Labels</t>
  </si>
  <si>
    <t>Grand Total</t>
  </si>
  <si>
    <t>Sum of top10_appearances</t>
  </si>
  <si>
    <t>Sum of pts</t>
  </si>
  <si>
    <t>Sum of ts_pct</t>
  </si>
  <si>
    <t>Sum of usg_pct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</si>
</sst>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Player Height</a:t>
            </a:r>
          </a:p>
        </c:rich>
      </c:tx>
      <c:layout>
        <c:manualLayout>
          <c:xMode val="edge"/>
          <c:yMode val="edge"/>
          <c:x val="0.34024300087489062"/>
          <c:y val="3.339000482082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avg_height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201.36</c:v>
                </c:pt>
                <c:pt idx="1">
                  <c:v>201.75</c:v>
                </c:pt>
                <c:pt idx="2">
                  <c:v>201.24</c:v>
                </c:pt>
                <c:pt idx="3">
                  <c:v>199.48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0-214B-AAF4-8BE7147F6A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1790655"/>
        <c:axId val="1391792383"/>
      </c:barChart>
      <c:catAx>
        <c:axId val="13917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2383"/>
        <c:crosses val="autoZero"/>
        <c:auto val="1"/>
        <c:lblAlgn val="ctr"/>
        <c:lblOffset val="100"/>
        <c:noMultiLvlLbl val="0"/>
      </c:catAx>
      <c:valAx>
        <c:axId val="13917923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17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Rebounds vs Assists by Decade</a:t>
            </a:r>
          </a:p>
        </c:rich>
      </c:tx>
      <c:layout>
        <c:manualLayout>
          <c:xMode val="edge"/>
          <c:yMode val="edge"/>
          <c:x val="0.250756780402449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avg_rebounds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3.8</c:v>
                </c:pt>
                <c:pt idx="1">
                  <c:v>3.84</c:v>
                </c:pt>
                <c:pt idx="2">
                  <c:v>3.86</c:v>
                </c:pt>
                <c:pt idx="3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6-FC4C-864C-107E9320851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avg_assists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1.87</c:v>
                </c:pt>
                <c:pt idx="1">
                  <c:v>1.89</c:v>
                </c:pt>
                <c:pt idx="2">
                  <c:v>1.98</c:v>
                </c:pt>
                <c:pt idx="3">
                  <c:v>2.2599999999999998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6-FC4C-864C-107E9320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7784816"/>
        <c:axId val="1177795328"/>
        <c:axId val="0"/>
      </c:bar3DChart>
      <c:catAx>
        <c:axId val="117778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95328"/>
        <c:crosses val="autoZero"/>
        <c:auto val="1"/>
        <c:lblAlgn val="ctr"/>
        <c:lblOffset val="100"/>
        <c:noMultiLvlLbl val="0"/>
      </c:catAx>
      <c:valAx>
        <c:axId val="11777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8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[visuals_era_trend.xlsx]Sheet7!PivotTable3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1990s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Sheet7!$B$5:$B$39</c:f>
              <c:numCache>
                <c:formatCode>General</c:formatCode>
                <c:ptCount val="34"/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3">
                  <c:v>4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1">
                  <c:v>1</c:v>
                </c:pt>
                <c:pt idx="24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2-094A-8917-DFDB68EFC405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2000s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Sheet7!$C$5:$C$39</c:f>
              <c:numCache>
                <c:formatCode>General</c:formatCode>
                <c:ptCount val="34"/>
                <c:pt idx="0">
                  <c:v>1</c:v>
                </c:pt>
                <c:pt idx="2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3">
                  <c:v>13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6</c:v>
                </c:pt>
                <c:pt idx="25">
                  <c:v>3</c:v>
                </c:pt>
                <c:pt idx="27">
                  <c:v>6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2-094A-8917-DFDB68EFC405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2010s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Sheet7!$D$5:$D$39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9">
                  <c:v>10</c:v>
                </c:pt>
                <c:pt idx="10">
                  <c:v>10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5">
                  <c:v>7</c:v>
                </c:pt>
                <c:pt idx="16">
                  <c:v>3</c:v>
                </c:pt>
                <c:pt idx="17">
                  <c:v>2</c:v>
                </c:pt>
                <c:pt idx="20">
                  <c:v>7</c:v>
                </c:pt>
                <c:pt idx="21">
                  <c:v>6</c:v>
                </c:pt>
                <c:pt idx="22">
                  <c:v>13</c:v>
                </c:pt>
                <c:pt idx="24">
                  <c:v>1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1</c:v>
                </c:pt>
                <c:pt idx="30">
                  <c:v>4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12-094A-8917-DFDB68EFC405}"/>
            </c:ext>
          </c:extLst>
        </c:ser>
        <c:ser>
          <c:idx val="3"/>
          <c:order val="3"/>
          <c:tx>
            <c:strRef>
              <c:f>Sheet7!$E$3:$E$4</c:f>
              <c:strCache>
                <c:ptCount val="1"/>
                <c:pt idx="0">
                  <c:v>2020s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Sheet7!$A$5:$A$39</c:f>
              <c:strCache>
                <c:ptCount val="34"/>
                <c:pt idx="0">
                  <c:v>ATL</c:v>
                </c:pt>
                <c:pt idx="1">
                  <c:v>BKN</c:v>
                </c:pt>
                <c:pt idx="2">
                  <c:v>BOS</c:v>
                </c:pt>
                <c:pt idx="3">
                  <c:v>CHH</c:v>
                </c:pt>
                <c:pt idx="4">
                  <c:v>CHI</c:v>
                </c:pt>
                <c:pt idx="5">
                  <c:v>CLE</c:v>
                </c:pt>
                <c:pt idx="6">
                  <c:v>DAL</c:v>
                </c:pt>
                <c:pt idx="7">
                  <c:v>DEN</c:v>
                </c:pt>
                <c:pt idx="8">
                  <c:v>DET</c:v>
                </c:pt>
                <c:pt idx="9">
                  <c:v>GSW</c:v>
                </c:pt>
                <c:pt idx="10">
                  <c:v>HOU</c:v>
                </c:pt>
                <c:pt idx="11">
                  <c:v>IND</c:v>
                </c:pt>
                <c:pt idx="12">
                  <c:v>LAC</c:v>
                </c:pt>
                <c:pt idx="13">
                  <c:v>LAL</c:v>
                </c:pt>
                <c:pt idx="14">
                  <c:v>MEM</c:v>
                </c:pt>
                <c:pt idx="15">
                  <c:v>MIA</c:v>
                </c:pt>
                <c:pt idx="16">
                  <c:v>MIL</c:v>
                </c:pt>
                <c:pt idx="17">
                  <c:v>MIN</c:v>
                </c:pt>
                <c:pt idx="18">
                  <c:v>NJN</c:v>
                </c:pt>
                <c:pt idx="19">
                  <c:v>NOH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PHX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SEA</c:v>
                </c:pt>
                <c:pt idx="30">
                  <c:v>TOR</c:v>
                </c:pt>
                <c:pt idx="31">
                  <c:v>UTA</c:v>
                </c:pt>
                <c:pt idx="32">
                  <c:v>VAN</c:v>
                </c:pt>
                <c:pt idx="33">
                  <c:v>WAS</c:v>
                </c:pt>
              </c:strCache>
            </c:strRef>
          </c:cat>
          <c:val>
            <c:numRef>
              <c:f>Sheet7!$E$5:$E$39</c:f>
              <c:numCache>
                <c:formatCode>General</c:formatCode>
                <c:ptCount val="34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9">
                  <c:v>2</c:v>
                </c:pt>
                <c:pt idx="13">
                  <c:v>2</c:v>
                </c:pt>
                <c:pt idx="14">
                  <c:v>1</c:v>
                </c:pt>
                <c:pt idx="16">
                  <c:v>3</c:v>
                </c:pt>
                <c:pt idx="20">
                  <c:v>1</c:v>
                </c:pt>
                <c:pt idx="22">
                  <c:v>1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12-094A-8917-DFDB68EFC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821376"/>
        <c:axId val="1178722032"/>
      </c:barChart>
      <c:catAx>
        <c:axId val="117882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22032"/>
        <c:crosses val="autoZero"/>
        <c:auto val="1"/>
        <c:lblAlgn val="ctr"/>
        <c:lblOffset val="100"/>
        <c:noMultiLvlLbl val="0"/>
      </c:catAx>
      <c:valAx>
        <c:axId val="1178722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882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[visuals_era_trend.xlsx]Sheet8!PivotTable4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Sum of pts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Sheet8!$B$4:$B$17</c:f>
              <c:numCache>
                <c:formatCode>General</c:formatCode>
                <c:ptCount val="13"/>
                <c:pt idx="0">
                  <c:v>120.00000000000001</c:v>
                </c:pt>
                <c:pt idx="1">
                  <c:v>28.7</c:v>
                </c:pt>
                <c:pt idx="2">
                  <c:v>30.2</c:v>
                </c:pt>
                <c:pt idx="3">
                  <c:v>100.8</c:v>
                </c:pt>
                <c:pt idx="4">
                  <c:v>63.7</c:v>
                </c:pt>
                <c:pt idx="5">
                  <c:v>117.8</c:v>
                </c:pt>
                <c:pt idx="6">
                  <c:v>67</c:v>
                </c:pt>
                <c:pt idx="7">
                  <c:v>30</c:v>
                </c:pt>
                <c:pt idx="8">
                  <c:v>58.3</c:v>
                </c:pt>
                <c:pt idx="9">
                  <c:v>59.7</c:v>
                </c:pt>
                <c:pt idx="10">
                  <c:v>29.7</c:v>
                </c:pt>
                <c:pt idx="11">
                  <c:v>62.1</c:v>
                </c:pt>
                <c:pt idx="12">
                  <c:v>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C-3F49-ADF0-D76AE9CEC8F3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Sum of ts_pct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Sheet8!$C$4:$C$17</c:f>
              <c:numCache>
                <c:formatCode>General</c:formatCode>
                <c:ptCount val="13"/>
                <c:pt idx="0">
                  <c:v>2.0470000000000002</c:v>
                </c:pt>
                <c:pt idx="1">
                  <c:v>0.56000000000000005</c:v>
                </c:pt>
                <c:pt idx="2">
                  <c:v>0.57399999999999995</c:v>
                </c:pt>
                <c:pt idx="3">
                  <c:v>1.8609999999999998</c:v>
                </c:pt>
                <c:pt idx="4">
                  <c:v>1.2709999999999999</c:v>
                </c:pt>
                <c:pt idx="5">
                  <c:v>2.4409999999999998</c:v>
                </c:pt>
                <c:pt idx="6">
                  <c:v>1.139</c:v>
                </c:pt>
                <c:pt idx="7">
                  <c:v>0.56799999999999995</c:v>
                </c:pt>
                <c:pt idx="8">
                  <c:v>1.1000000000000001</c:v>
                </c:pt>
                <c:pt idx="9">
                  <c:v>1.0900000000000001</c:v>
                </c:pt>
                <c:pt idx="10">
                  <c:v>0.57799999999999996</c:v>
                </c:pt>
                <c:pt idx="11">
                  <c:v>1.3240000000000001</c:v>
                </c:pt>
                <c:pt idx="12">
                  <c:v>1.0899999999999999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BC-3F49-ADF0-D76AE9CEC8F3}"/>
            </c:ext>
          </c:extLst>
        </c:ser>
        <c:ser>
          <c:idx val="2"/>
          <c:order val="2"/>
          <c:tx>
            <c:strRef>
              <c:f>Sheet8!$D$3</c:f>
              <c:strCache>
                <c:ptCount val="1"/>
                <c:pt idx="0">
                  <c:v>Sum of usg_pct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F59-C048-9AD4-CFE95B2C6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CF59-C048-9AD4-CFE95B2C6A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CF59-C048-9AD4-CFE95B2C6A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F59-C048-9AD4-CFE95B2C6A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CF59-C048-9AD4-CFE95B2C6A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F59-C048-9AD4-CFE95B2C6A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F59-C048-9AD4-CFE95B2C6A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F59-C048-9AD4-CFE95B2C6A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F59-C048-9AD4-CFE95B2C6A5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F59-C048-9AD4-CFE95B2C6A5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F59-C048-9AD4-CFE95B2C6A5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CF59-C048-9AD4-CFE95B2C6A5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CF59-C048-9AD4-CFE95B2C6A50}"/>
              </c:ext>
            </c:extLst>
          </c:dPt>
          <c:cat>
            <c:strRef>
              <c:f>Sheet8!$A$4:$A$17</c:f>
              <c:strCache>
                <c:ptCount val="13"/>
                <c:pt idx="0">
                  <c:v>Allen Iverson</c:v>
                </c:pt>
                <c:pt idx="1">
                  <c:v>Carmelo Anthony</c:v>
                </c:pt>
                <c:pt idx="2">
                  <c:v>Dwyane Wade</c:v>
                </c:pt>
                <c:pt idx="3">
                  <c:v>James Harden</c:v>
                </c:pt>
                <c:pt idx="4">
                  <c:v>Joel Embiid</c:v>
                </c:pt>
                <c:pt idx="5">
                  <c:v>Kevin Durant</c:v>
                </c:pt>
                <c:pt idx="6">
                  <c:v>Kobe Bryant</c:v>
                </c:pt>
                <c:pt idx="7">
                  <c:v>LeBron James</c:v>
                </c:pt>
                <c:pt idx="8">
                  <c:v>Michael Jordan</c:v>
                </c:pt>
                <c:pt idx="9">
                  <c:v>Russell Westbrook</c:v>
                </c:pt>
                <c:pt idx="10">
                  <c:v>Shaquille O'Neal</c:v>
                </c:pt>
                <c:pt idx="11">
                  <c:v>Stephen Curry</c:v>
                </c:pt>
                <c:pt idx="12">
                  <c:v>Tracy McGrady</c:v>
                </c:pt>
              </c:strCache>
            </c:strRef>
          </c:cat>
          <c:val>
            <c:numRef>
              <c:f>Sheet8!$D$4:$D$17</c:f>
              <c:numCache>
                <c:formatCode>General</c:formatCode>
                <c:ptCount val="13"/>
                <c:pt idx="0">
                  <c:v>1.395</c:v>
                </c:pt>
                <c:pt idx="1">
                  <c:v>0.35299999999999998</c:v>
                </c:pt>
                <c:pt idx="2">
                  <c:v>0.35599999999999998</c:v>
                </c:pt>
                <c:pt idx="3">
                  <c:v>1.105</c:v>
                </c:pt>
                <c:pt idx="4">
                  <c:v>0.745</c:v>
                </c:pt>
                <c:pt idx="5">
                  <c:v>1.254</c:v>
                </c:pt>
                <c:pt idx="6">
                  <c:v>0.71700000000000008</c:v>
                </c:pt>
                <c:pt idx="7">
                  <c:v>0.33300000000000002</c:v>
                </c:pt>
                <c:pt idx="8">
                  <c:v>0.66700000000000004</c:v>
                </c:pt>
                <c:pt idx="9">
                  <c:v>0.78</c:v>
                </c:pt>
                <c:pt idx="10">
                  <c:v>0.313</c:v>
                </c:pt>
                <c:pt idx="11">
                  <c:v>0.65100000000000002</c:v>
                </c:pt>
                <c:pt idx="12">
                  <c:v>0.67999999999999994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BC-3F49-ADF0-D76AE9CEC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15</xdr:row>
      <xdr:rowOff>139700</xdr:rowOff>
    </xdr:from>
    <xdr:to>
      <xdr:col>12</xdr:col>
      <xdr:colOff>165100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3D425-8F48-88A6-6ED9-EF25D9CF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15</xdr:row>
      <xdr:rowOff>139700</xdr:rowOff>
    </xdr:from>
    <xdr:to>
      <xdr:col>10</xdr:col>
      <xdr:colOff>139700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1B18B-B5AF-9E9D-01DF-148F849B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41</xdr:row>
      <xdr:rowOff>25400</xdr:rowOff>
    </xdr:from>
    <xdr:to>
      <xdr:col>17</xdr:col>
      <xdr:colOff>596900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496B4-B343-93CE-07F6-BB9E153A5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20</xdr:row>
      <xdr:rowOff>50800</xdr:rowOff>
    </xdr:from>
    <xdr:to>
      <xdr:col>13</xdr:col>
      <xdr:colOff>152400</xdr:colOff>
      <xdr:row>40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73102-175F-1A45-C4DF-7624114F0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suals_era_trends.xlsx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visuals_era_trends.xlsx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5964.771891898148" createdVersion="8" refreshedVersion="8" minRefreshableVersion="3" recordCount="85" xr:uid="{B6C4493D-78D2-474E-BBFE-FDC4ED2FFB31}">
  <cacheSource type="worksheet">
    <worksheetSource ref="A1:C86" sheet="Sheet4" r:id="rId2"/>
  </cacheSource>
  <cacheFields count="3">
    <cacheField name="decade" numFmtId="0">
      <sharedItems count="4">
        <s v="1990s"/>
        <s v="2000s"/>
        <s v="2010s"/>
        <s v="2020s"/>
      </sharedItems>
    </cacheField>
    <cacheField name="team_abbreviation" numFmtId="0">
      <sharedItems count="34">
        <s v="UTA"/>
        <s v="LAL"/>
        <s v="PHI"/>
        <s v="SAC"/>
        <s v="DET"/>
        <s v="CHI"/>
        <s v="CHH"/>
        <s v="DEN"/>
        <s v="VAN"/>
        <s v="NJN"/>
        <s v="SAS"/>
        <s v="SEA"/>
        <s v="GSW"/>
        <s v="HOU"/>
        <s v="NYK"/>
        <s v="MIL"/>
        <s v="BOS"/>
        <s v="WAS"/>
        <s v="TOR"/>
        <s v="MIN"/>
        <s v="DAL"/>
        <s v="CLE"/>
        <s v="MIA"/>
        <s v="ORL"/>
        <s v="IND"/>
        <s v="PHX"/>
        <s v="OKC"/>
        <s v="NOH"/>
        <s v="ATL"/>
        <s v="POR"/>
        <s v="NOP"/>
        <s v="LAC"/>
        <s v="BKN"/>
        <s v="MEM"/>
      </sharedItems>
    </cacheField>
    <cacheField name="top10_appearances" numFmtId="0">
      <sharedItems containsSemiMixedTypes="0" containsString="0" containsNumber="1" containsInteger="1" minValue="1" maxValue="13" count="10">
        <n v="4"/>
        <n v="3"/>
        <n v="2"/>
        <n v="1"/>
        <n v="13"/>
        <n v="7"/>
        <n v="6"/>
        <n v="5"/>
        <n v="10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5964.802291550928" createdVersion="8" refreshedVersion="8" minRefreshableVersion="3" recordCount="27" xr:uid="{EC428C3B-775B-3D47-A580-EF11866BDA53}">
  <cacheSource type="worksheet">
    <worksheetSource ref="A1:E28" sheet="Sheet5" r:id="rId2"/>
  </cacheSource>
  <cacheFields count="5">
    <cacheField name="season" numFmtId="0">
      <sharedItems/>
    </cacheField>
    <cacheField name="player_name" numFmtId="0">
      <sharedItems count="13">
        <s v="Michael Jordan"/>
        <s v="Allen Iverson"/>
        <s v="Shaquille O'Neal"/>
        <s v="Tracy McGrady"/>
        <s v="Kobe Bryant"/>
        <s v="LeBron James"/>
        <s v="Dwyane Wade"/>
        <s v="Kevin Durant"/>
        <s v="Carmelo Anthony"/>
        <s v="Russell Westbrook"/>
        <s v="Stephen Curry"/>
        <s v="James Harden"/>
        <s v="Joel Embiid"/>
      </sharedItems>
    </cacheField>
    <cacheField name="pts" numFmtId="0">
      <sharedItems containsSemiMixedTypes="0" containsString="0" containsNumber="1" minValue="26.8" maxValue="36.1" count="22">
        <n v="29.6"/>
        <n v="28.7"/>
        <n v="26.8"/>
        <n v="29.7"/>
        <n v="31.1"/>
        <n v="31.4"/>
        <n v="32.1"/>
        <n v="28"/>
        <n v="30.7"/>
        <n v="35.4"/>
        <n v="31.6"/>
        <n v="30"/>
        <n v="30.2"/>
        <n v="30.1"/>
        <n v="27.7"/>
        <n v="32"/>
        <n v="28.1"/>
        <n v="30.4"/>
        <n v="36.1"/>
        <n v="34.299999999999997"/>
        <n v="30.6"/>
        <n v="33.1"/>
      </sharedItems>
    </cacheField>
    <cacheField name="ts_pct" numFmtId="0">
      <sharedItems containsSemiMixedTypes="0" containsString="0" containsNumber="1" minValue="0.48899999999999999" maxValue="0.66900000000000004" count="25">
        <n v="0.56699999999999995"/>
        <n v="0.53300000000000003"/>
        <n v="0.50800000000000001"/>
        <n v="0.57799999999999996"/>
        <n v="0.51800000000000002"/>
        <n v="0.48899999999999999"/>
        <n v="0.56399999999999995"/>
        <n v="0.52600000000000002"/>
        <n v="0.53200000000000003"/>
        <n v="0.55900000000000005"/>
        <n v="0.57999999999999996"/>
        <n v="0.56799999999999995"/>
        <n v="0.57399999999999995"/>
        <n v="0.60699999999999998"/>
        <n v="0.58899999999999997"/>
        <n v="0.61"/>
        <n v="0.56000000000000005"/>
        <n v="0.63500000000000001"/>
        <n v="0.53600000000000003"/>
        <n v="0.66900000000000004"/>
        <n v="0.55400000000000005"/>
        <n v="0.61899999999999999"/>
        <n v="0.61599999999999999"/>
        <n v="0.626"/>
        <n v="0.65500000000000003"/>
      </sharedItems>
    </cacheField>
    <cacheField name="usg_pct" numFmtId="0">
      <sharedItems containsSemiMixedTypes="0" containsString="0" containsNumber="1" minValue="0.30199999999999999" maxValue="0.4079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x v="0"/>
  </r>
  <r>
    <x v="0"/>
    <x v="1"/>
    <x v="0"/>
  </r>
  <r>
    <x v="0"/>
    <x v="2"/>
    <x v="0"/>
  </r>
  <r>
    <x v="0"/>
    <x v="3"/>
    <x v="1"/>
  </r>
  <r>
    <x v="0"/>
    <x v="4"/>
    <x v="1"/>
  </r>
  <r>
    <x v="0"/>
    <x v="5"/>
    <x v="2"/>
  </r>
  <r>
    <x v="0"/>
    <x v="6"/>
    <x v="2"/>
  </r>
  <r>
    <x v="0"/>
    <x v="7"/>
    <x v="2"/>
  </r>
  <r>
    <x v="0"/>
    <x v="8"/>
    <x v="2"/>
  </r>
  <r>
    <x v="0"/>
    <x v="9"/>
    <x v="2"/>
  </r>
  <r>
    <x v="0"/>
    <x v="10"/>
    <x v="2"/>
  </r>
  <r>
    <x v="0"/>
    <x v="11"/>
    <x v="2"/>
  </r>
  <r>
    <x v="0"/>
    <x v="12"/>
    <x v="3"/>
  </r>
  <r>
    <x v="0"/>
    <x v="13"/>
    <x v="3"/>
  </r>
  <r>
    <x v="0"/>
    <x v="14"/>
    <x v="3"/>
  </r>
  <r>
    <x v="0"/>
    <x v="15"/>
    <x v="3"/>
  </r>
  <r>
    <x v="0"/>
    <x v="16"/>
    <x v="3"/>
  </r>
  <r>
    <x v="0"/>
    <x v="17"/>
    <x v="3"/>
  </r>
  <r>
    <x v="0"/>
    <x v="18"/>
    <x v="3"/>
  </r>
  <r>
    <x v="0"/>
    <x v="19"/>
    <x v="3"/>
  </r>
  <r>
    <x v="1"/>
    <x v="1"/>
    <x v="4"/>
  </r>
  <r>
    <x v="1"/>
    <x v="7"/>
    <x v="5"/>
  </r>
  <r>
    <x v="1"/>
    <x v="20"/>
    <x v="5"/>
  </r>
  <r>
    <x v="1"/>
    <x v="3"/>
    <x v="6"/>
  </r>
  <r>
    <x v="1"/>
    <x v="21"/>
    <x v="6"/>
  </r>
  <r>
    <x v="1"/>
    <x v="2"/>
    <x v="6"/>
  </r>
  <r>
    <x v="1"/>
    <x v="16"/>
    <x v="7"/>
  </r>
  <r>
    <x v="1"/>
    <x v="22"/>
    <x v="7"/>
  </r>
  <r>
    <x v="1"/>
    <x v="18"/>
    <x v="0"/>
  </r>
  <r>
    <x v="1"/>
    <x v="23"/>
    <x v="0"/>
  </r>
  <r>
    <x v="1"/>
    <x v="9"/>
    <x v="0"/>
  </r>
  <r>
    <x v="1"/>
    <x v="17"/>
    <x v="0"/>
  </r>
  <r>
    <x v="1"/>
    <x v="11"/>
    <x v="0"/>
  </r>
  <r>
    <x v="1"/>
    <x v="24"/>
    <x v="0"/>
  </r>
  <r>
    <x v="1"/>
    <x v="10"/>
    <x v="1"/>
  </r>
  <r>
    <x v="1"/>
    <x v="19"/>
    <x v="1"/>
  </r>
  <r>
    <x v="1"/>
    <x v="25"/>
    <x v="1"/>
  </r>
  <r>
    <x v="1"/>
    <x v="15"/>
    <x v="1"/>
  </r>
  <r>
    <x v="1"/>
    <x v="26"/>
    <x v="2"/>
  </r>
  <r>
    <x v="1"/>
    <x v="12"/>
    <x v="2"/>
  </r>
  <r>
    <x v="1"/>
    <x v="27"/>
    <x v="2"/>
  </r>
  <r>
    <x v="1"/>
    <x v="13"/>
    <x v="3"/>
  </r>
  <r>
    <x v="1"/>
    <x v="28"/>
    <x v="3"/>
  </r>
  <r>
    <x v="1"/>
    <x v="4"/>
    <x v="3"/>
  </r>
  <r>
    <x v="2"/>
    <x v="26"/>
    <x v="4"/>
  </r>
  <r>
    <x v="2"/>
    <x v="12"/>
    <x v="8"/>
  </r>
  <r>
    <x v="2"/>
    <x v="13"/>
    <x v="8"/>
  </r>
  <r>
    <x v="2"/>
    <x v="29"/>
    <x v="9"/>
  </r>
  <r>
    <x v="2"/>
    <x v="22"/>
    <x v="5"/>
  </r>
  <r>
    <x v="2"/>
    <x v="30"/>
    <x v="5"/>
  </r>
  <r>
    <x v="2"/>
    <x v="14"/>
    <x v="6"/>
  </r>
  <r>
    <x v="2"/>
    <x v="1"/>
    <x v="7"/>
  </r>
  <r>
    <x v="2"/>
    <x v="21"/>
    <x v="7"/>
  </r>
  <r>
    <x v="2"/>
    <x v="18"/>
    <x v="0"/>
  </r>
  <r>
    <x v="2"/>
    <x v="25"/>
    <x v="1"/>
  </r>
  <r>
    <x v="2"/>
    <x v="3"/>
    <x v="1"/>
  </r>
  <r>
    <x v="2"/>
    <x v="20"/>
    <x v="1"/>
  </r>
  <r>
    <x v="2"/>
    <x v="15"/>
    <x v="1"/>
  </r>
  <r>
    <x v="2"/>
    <x v="31"/>
    <x v="2"/>
  </r>
  <r>
    <x v="2"/>
    <x v="5"/>
    <x v="2"/>
  </r>
  <r>
    <x v="2"/>
    <x v="19"/>
    <x v="2"/>
  </r>
  <r>
    <x v="2"/>
    <x v="24"/>
    <x v="3"/>
  </r>
  <r>
    <x v="2"/>
    <x v="16"/>
    <x v="3"/>
  </r>
  <r>
    <x v="2"/>
    <x v="10"/>
    <x v="3"/>
  </r>
  <r>
    <x v="2"/>
    <x v="2"/>
    <x v="3"/>
  </r>
  <r>
    <x v="2"/>
    <x v="17"/>
    <x v="3"/>
  </r>
  <r>
    <x v="2"/>
    <x v="28"/>
    <x v="3"/>
  </r>
  <r>
    <x v="2"/>
    <x v="32"/>
    <x v="3"/>
  </r>
  <r>
    <x v="3"/>
    <x v="32"/>
    <x v="0"/>
  </r>
  <r>
    <x v="3"/>
    <x v="2"/>
    <x v="1"/>
  </r>
  <r>
    <x v="3"/>
    <x v="15"/>
    <x v="1"/>
  </r>
  <r>
    <x v="3"/>
    <x v="20"/>
    <x v="1"/>
  </r>
  <r>
    <x v="3"/>
    <x v="12"/>
    <x v="2"/>
  </r>
  <r>
    <x v="3"/>
    <x v="29"/>
    <x v="2"/>
  </r>
  <r>
    <x v="3"/>
    <x v="5"/>
    <x v="2"/>
  </r>
  <r>
    <x v="3"/>
    <x v="1"/>
    <x v="2"/>
  </r>
  <r>
    <x v="3"/>
    <x v="17"/>
    <x v="3"/>
  </r>
  <r>
    <x v="3"/>
    <x v="30"/>
    <x v="3"/>
  </r>
  <r>
    <x v="3"/>
    <x v="28"/>
    <x v="3"/>
  </r>
  <r>
    <x v="3"/>
    <x v="33"/>
    <x v="3"/>
  </r>
  <r>
    <x v="3"/>
    <x v="7"/>
    <x v="3"/>
  </r>
  <r>
    <x v="3"/>
    <x v="26"/>
    <x v="3"/>
  </r>
  <r>
    <x v="3"/>
    <x v="16"/>
    <x v="3"/>
  </r>
  <r>
    <x v="3"/>
    <x v="25"/>
    <x v="3"/>
  </r>
  <r>
    <x v="3"/>
    <x v="2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1996-97"/>
    <x v="0"/>
    <x v="0"/>
    <x v="0"/>
    <n v="0.33100000000000002"/>
  </r>
  <r>
    <s v="1997-98"/>
    <x v="0"/>
    <x v="1"/>
    <x v="1"/>
    <n v="0.33600000000000002"/>
  </r>
  <r>
    <s v="1998-99"/>
    <x v="1"/>
    <x v="2"/>
    <x v="2"/>
    <n v="0.32300000000000001"/>
  </r>
  <r>
    <s v="1999-00"/>
    <x v="2"/>
    <x v="3"/>
    <x v="3"/>
    <n v="0.313"/>
  </r>
  <r>
    <s v="2000-01"/>
    <x v="1"/>
    <x v="4"/>
    <x v="4"/>
    <n v="0.35399999999999998"/>
  </r>
  <r>
    <s v="2001-02"/>
    <x v="1"/>
    <x v="5"/>
    <x v="5"/>
    <n v="0.371"/>
  </r>
  <r>
    <s v="2002-03"/>
    <x v="3"/>
    <x v="6"/>
    <x v="6"/>
    <n v="0.35"/>
  </r>
  <r>
    <s v="2003-04"/>
    <x v="3"/>
    <x v="7"/>
    <x v="7"/>
    <n v="0.33"/>
  </r>
  <r>
    <s v="2004-05"/>
    <x v="1"/>
    <x v="8"/>
    <x v="8"/>
    <n v="0.34699999999999998"/>
  </r>
  <r>
    <s v="2005-06"/>
    <x v="4"/>
    <x v="9"/>
    <x v="9"/>
    <n v="0.38400000000000001"/>
  </r>
  <r>
    <s v="2006-07"/>
    <x v="4"/>
    <x v="10"/>
    <x v="10"/>
    <n v="0.33300000000000002"/>
  </r>
  <r>
    <s v="2007-08"/>
    <x v="5"/>
    <x v="11"/>
    <x v="11"/>
    <n v="0.33300000000000002"/>
  </r>
  <r>
    <s v="2008-09"/>
    <x v="6"/>
    <x v="12"/>
    <x v="12"/>
    <n v="0.35599999999999998"/>
  </r>
  <r>
    <s v="2009-10"/>
    <x v="7"/>
    <x v="13"/>
    <x v="13"/>
    <n v="0.317"/>
  </r>
  <r>
    <s v="2010-11"/>
    <x v="7"/>
    <x v="14"/>
    <x v="14"/>
    <n v="0.30199999999999999"/>
  </r>
  <r>
    <s v="2011-12"/>
    <x v="7"/>
    <x v="7"/>
    <x v="15"/>
    <n v="0.308"/>
  </r>
  <r>
    <s v="2012-13"/>
    <x v="8"/>
    <x v="1"/>
    <x v="16"/>
    <n v="0.35299999999999998"/>
  </r>
  <r>
    <s v="2013-14"/>
    <x v="7"/>
    <x v="15"/>
    <x v="17"/>
    <n v="0.32700000000000001"/>
  </r>
  <r>
    <s v="2014-15"/>
    <x v="9"/>
    <x v="16"/>
    <x v="18"/>
    <n v="0.372"/>
  </r>
  <r>
    <s v="2015-16"/>
    <x v="10"/>
    <x v="13"/>
    <x v="19"/>
    <n v="0.32"/>
  </r>
  <r>
    <s v="2016-17"/>
    <x v="9"/>
    <x v="10"/>
    <x v="20"/>
    <n v="0.40799999999999997"/>
  </r>
  <r>
    <s v="2017-18"/>
    <x v="11"/>
    <x v="17"/>
    <x v="21"/>
    <n v="0.35299999999999998"/>
  </r>
  <r>
    <s v="2018-19"/>
    <x v="11"/>
    <x v="18"/>
    <x v="22"/>
    <n v="0.39600000000000002"/>
  </r>
  <r>
    <s v="2019-20"/>
    <x v="11"/>
    <x v="19"/>
    <x v="23"/>
    <n v="0.35599999999999998"/>
  </r>
  <r>
    <s v="2020-21"/>
    <x v="10"/>
    <x v="15"/>
    <x v="24"/>
    <n v="0.33100000000000002"/>
  </r>
  <r>
    <s v="2021-22"/>
    <x v="12"/>
    <x v="20"/>
    <x v="22"/>
    <n v="0.375"/>
  </r>
  <r>
    <s v="2022-23"/>
    <x v="12"/>
    <x v="21"/>
    <x v="24"/>
    <n v="0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F5B69-E242-C240-822F-9DEF204C2B55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F39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35">
        <item x="28"/>
        <item x="32"/>
        <item x="16"/>
        <item x="6"/>
        <item x="5"/>
        <item x="21"/>
        <item x="20"/>
        <item x="7"/>
        <item x="4"/>
        <item x="12"/>
        <item x="13"/>
        <item x="24"/>
        <item x="31"/>
        <item x="1"/>
        <item x="33"/>
        <item x="22"/>
        <item x="15"/>
        <item x="19"/>
        <item x="9"/>
        <item x="27"/>
        <item x="30"/>
        <item x="14"/>
        <item x="26"/>
        <item x="23"/>
        <item x="2"/>
        <item x="25"/>
        <item x="29"/>
        <item x="3"/>
        <item x="10"/>
        <item x="11"/>
        <item x="18"/>
        <item x="0"/>
        <item x="8"/>
        <item x="17"/>
        <item t="default"/>
      </items>
    </pivotField>
    <pivotField dataField="1" showAll="0">
      <items count="11">
        <item x="3"/>
        <item x="2"/>
        <item x="1"/>
        <item x="0"/>
        <item x="7"/>
        <item x="6"/>
        <item x="5"/>
        <item x="9"/>
        <item x="8"/>
        <item x="4"/>
        <item t="default"/>
      </items>
    </pivotField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p10_appearances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B3DDF-44FB-CB49-8A0D-4EE9DDF8ECE8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7" firstHeaderRow="0" firstDataRow="1" firstDataCol="1"/>
  <pivotFields count="5">
    <pivotField showAll="0"/>
    <pivotField axis="axisRow" showAll="0">
      <items count="14">
        <item x="1"/>
        <item x="8"/>
        <item x="6"/>
        <item x="11"/>
        <item x="12"/>
        <item x="7"/>
        <item x="4"/>
        <item x="5"/>
        <item x="0"/>
        <item x="9"/>
        <item x="2"/>
        <item x="10"/>
        <item x="3"/>
        <item t="default"/>
      </items>
    </pivotField>
    <pivotField dataField="1" showAll="0">
      <items count="23">
        <item x="2"/>
        <item x="14"/>
        <item x="7"/>
        <item x="16"/>
        <item x="1"/>
        <item x="0"/>
        <item x="3"/>
        <item x="11"/>
        <item x="13"/>
        <item x="12"/>
        <item x="17"/>
        <item x="20"/>
        <item x="8"/>
        <item x="4"/>
        <item x="5"/>
        <item x="10"/>
        <item x="15"/>
        <item x="6"/>
        <item x="21"/>
        <item x="19"/>
        <item x="9"/>
        <item x="18"/>
        <item t="default"/>
      </items>
    </pivotField>
    <pivotField dataField="1" showAll="0">
      <items count="26">
        <item x="5"/>
        <item x="2"/>
        <item x="4"/>
        <item x="7"/>
        <item x="8"/>
        <item x="1"/>
        <item x="18"/>
        <item x="20"/>
        <item x="9"/>
        <item x="16"/>
        <item x="6"/>
        <item x="0"/>
        <item x="11"/>
        <item x="12"/>
        <item x="3"/>
        <item x="10"/>
        <item x="14"/>
        <item x="13"/>
        <item x="15"/>
        <item x="22"/>
        <item x="21"/>
        <item x="23"/>
        <item x="17"/>
        <item x="24"/>
        <item x="19"/>
        <item t="default"/>
      </items>
    </pivotField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ts" fld="2" baseField="0" baseItem="0"/>
    <dataField name="Sum of ts_pct" fld="3" baseField="0" baseItem="0"/>
    <dataField name="Sum of usg_pct" fld="4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1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2"/>
          </reference>
          <reference field="1" count="1" selected="0">
            <x v="6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2"/>
          </reference>
          <reference field="1" count="1" selected="0">
            <x v="7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2"/>
          </reference>
          <reference field="1" count="1" selected="0">
            <x v="8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2"/>
          </reference>
          <reference field="1" count="1" selected="0">
            <x v="9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2"/>
          </reference>
          <reference field="1" count="1" selected="0">
            <x v="10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2"/>
          </reference>
          <reference field="1" count="1" selected="0">
            <x v="11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height" connectionId="1" xr16:uid="{CB66848C-81B7-B548-B14D-2A580F1285D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reb_ast" connectionId="2" xr16:uid="{24472E9B-B163-724A-8845-F678785EB9F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3797-E6FC-8246-BDD4-954421E6BDDC}">
  <dimension ref="A1:B5"/>
  <sheetViews>
    <sheetView workbookViewId="0">
      <selection activeCell="F12" sqref="F12"/>
    </sheetView>
  </sheetViews>
  <sheetFormatPr baseColWidth="10" defaultRowHeight="16" x14ac:dyDescent="0.2"/>
  <cols>
    <col min="1" max="1" width="7.1640625" bestFit="1" customWidth="1"/>
    <col min="2" max="2" width="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201.36</v>
      </c>
    </row>
    <row r="3" spans="1:2" x14ac:dyDescent="0.2">
      <c r="A3" t="s">
        <v>3</v>
      </c>
      <c r="B3">
        <v>201.75</v>
      </c>
    </row>
    <row r="4" spans="1:2" x14ac:dyDescent="0.2">
      <c r="A4" t="s">
        <v>4</v>
      </c>
      <c r="B4">
        <v>201.24</v>
      </c>
    </row>
    <row r="5" spans="1:2" x14ac:dyDescent="0.2">
      <c r="A5" t="s">
        <v>5</v>
      </c>
      <c r="B5">
        <v>199.48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01FF-9E26-E444-BC77-0362AED5235B}">
  <dimension ref="A1:C5"/>
  <sheetViews>
    <sheetView workbookViewId="0">
      <selection activeCell="K4" sqref="K4"/>
    </sheetView>
  </sheetViews>
  <sheetFormatPr baseColWidth="10" defaultRowHeight="16" x14ac:dyDescent="0.2"/>
  <cols>
    <col min="1" max="1" width="7.1640625" bestFit="1" customWidth="1"/>
    <col min="2" max="2" width="12.1640625" bestFit="1" customWidth="1"/>
    <col min="3" max="3" width="10.1640625" bestFit="1" customWidth="1"/>
  </cols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 t="s">
        <v>2</v>
      </c>
      <c r="B2">
        <v>3.8</v>
      </c>
      <c r="C2">
        <v>1.87</v>
      </c>
    </row>
    <row r="3" spans="1:3" x14ac:dyDescent="0.2">
      <c r="A3" t="s">
        <v>3</v>
      </c>
      <c r="B3">
        <v>3.84</v>
      </c>
      <c r="C3">
        <v>1.89</v>
      </c>
    </row>
    <row r="4" spans="1:3" x14ac:dyDescent="0.2">
      <c r="A4" t="s">
        <v>4</v>
      </c>
      <c r="B4">
        <v>3.86</v>
      </c>
      <c r="C4">
        <v>1.98</v>
      </c>
    </row>
    <row r="5" spans="1:3" x14ac:dyDescent="0.2">
      <c r="A5" t="s">
        <v>5</v>
      </c>
      <c r="B5">
        <v>3.97</v>
      </c>
      <c r="C5">
        <v>2.2599999999999998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9613-38EF-EC42-B185-B37F0DC19427}">
  <dimension ref="A3:F39"/>
  <sheetViews>
    <sheetView tabSelected="1" workbookViewId="0">
      <selection activeCell="A32" sqref="A32"/>
    </sheetView>
  </sheetViews>
  <sheetFormatPr baseColWidth="10" defaultRowHeight="16" x14ac:dyDescent="0.2"/>
  <cols>
    <col min="1" max="1" width="23.6640625" bestFit="1" customWidth="1"/>
    <col min="2" max="2" width="16" bestFit="1" customWidth="1"/>
    <col min="3" max="5" width="6.1640625" bestFit="1" customWidth="1"/>
    <col min="6" max="6" width="10.5" bestFit="1" customWidth="1"/>
    <col min="7" max="9" width="2.1640625" bestFit="1" customWidth="1"/>
    <col min="10" max="11" width="3.1640625" bestFit="1" customWidth="1"/>
    <col min="12" max="12" width="10.5" bestFit="1" customWidth="1"/>
    <col min="13" max="34" width="16" bestFit="1" customWidth="1"/>
    <col min="35" max="35" width="10.5" bestFit="1" customWidth="1"/>
  </cols>
  <sheetData>
    <row r="3" spans="1:6" x14ac:dyDescent="0.2">
      <c r="A3" s="1" t="s">
        <v>58</v>
      </c>
      <c r="B3" s="1" t="s">
        <v>55</v>
      </c>
    </row>
    <row r="4" spans="1:6" x14ac:dyDescent="0.2">
      <c r="A4" s="1" t="s">
        <v>56</v>
      </c>
      <c r="B4" t="s">
        <v>2</v>
      </c>
      <c r="C4" t="s">
        <v>3</v>
      </c>
      <c r="D4" t="s">
        <v>4</v>
      </c>
      <c r="E4" t="s">
        <v>5</v>
      </c>
      <c r="F4" t="s">
        <v>57</v>
      </c>
    </row>
    <row r="5" spans="1:6" x14ac:dyDescent="0.2">
      <c r="A5" s="2" t="s">
        <v>52</v>
      </c>
      <c r="C5">
        <v>1</v>
      </c>
      <c r="D5">
        <v>1</v>
      </c>
      <c r="E5">
        <v>1</v>
      </c>
      <c r="F5">
        <v>3</v>
      </c>
    </row>
    <row r="6" spans="1:6" x14ac:dyDescent="0.2">
      <c r="A6" s="2" t="s">
        <v>53</v>
      </c>
      <c r="D6">
        <v>1</v>
      </c>
      <c r="E6">
        <v>4</v>
      </c>
      <c r="F6">
        <v>5</v>
      </c>
    </row>
    <row r="7" spans="1:6" x14ac:dyDescent="0.2">
      <c r="A7" s="2" t="s">
        <v>22</v>
      </c>
      <c r="B7">
        <v>1</v>
      </c>
      <c r="C7">
        <v>5</v>
      </c>
      <c r="D7">
        <v>1</v>
      </c>
      <c r="E7">
        <v>1</v>
      </c>
      <c r="F7">
        <v>8</v>
      </c>
    </row>
    <row r="8" spans="1:6" x14ac:dyDescent="0.2">
      <c r="A8" s="2" t="s">
        <v>11</v>
      </c>
      <c r="B8">
        <v>2</v>
      </c>
      <c r="F8">
        <v>2</v>
      </c>
    </row>
    <row r="9" spans="1:6" x14ac:dyDescent="0.2">
      <c r="A9" s="2" t="s">
        <v>9</v>
      </c>
      <c r="B9">
        <v>2</v>
      </c>
      <c r="D9">
        <v>2</v>
      </c>
      <c r="E9">
        <v>2</v>
      </c>
      <c r="F9">
        <v>6</v>
      </c>
    </row>
    <row r="10" spans="1:6" x14ac:dyDescent="0.2">
      <c r="A10" s="2" t="s">
        <v>37</v>
      </c>
      <c r="C10">
        <v>6</v>
      </c>
      <c r="D10">
        <v>5</v>
      </c>
      <c r="E10">
        <v>1</v>
      </c>
      <c r="F10">
        <v>12</v>
      </c>
    </row>
    <row r="11" spans="1:6" x14ac:dyDescent="0.2">
      <c r="A11" s="2" t="s">
        <v>34</v>
      </c>
      <c r="C11">
        <v>7</v>
      </c>
      <c r="D11">
        <v>3</v>
      </c>
      <c r="E11">
        <v>3</v>
      </c>
      <c r="F11">
        <v>13</v>
      </c>
    </row>
    <row r="12" spans="1:6" x14ac:dyDescent="0.2">
      <c r="A12" s="2" t="s">
        <v>20</v>
      </c>
      <c r="B12">
        <v>2</v>
      </c>
      <c r="C12">
        <v>7</v>
      </c>
      <c r="E12">
        <v>1</v>
      </c>
      <c r="F12">
        <v>10</v>
      </c>
    </row>
    <row r="13" spans="1:6" x14ac:dyDescent="0.2">
      <c r="A13" s="2" t="s">
        <v>28</v>
      </c>
      <c r="B13">
        <v>3</v>
      </c>
      <c r="C13">
        <v>1</v>
      </c>
      <c r="F13">
        <v>4</v>
      </c>
    </row>
    <row r="14" spans="1:6" x14ac:dyDescent="0.2">
      <c r="A14" s="2" t="s">
        <v>15</v>
      </c>
      <c r="B14">
        <v>1</v>
      </c>
      <c r="C14">
        <v>2</v>
      </c>
      <c r="D14">
        <v>10</v>
      </c>
      <c r="E14">
        <v>2</v>
      </c>
      <c r="F14">
        <v>15</v>
      </c>
    </row>
    <row r="15" spans="1:6" x14ac:dyDescent="0.2">
      <c r="A15" s="2" t="s">
        <v>18</v>
      </c>
      <c r="B15">
        <v>1</v>
      </c>
      <c r="C15">
        <v>1</v>
      </c>
      <c r="D15">
        <v>10</v>
      </c>
      <c r="F15">
        <v>12</v>
      </c>
    </row>
    <row r="16" spans="1:6" x14ac:dyDescent="0.2">
      <c r="A16" s="2" t="s">
        <v>39</v>
      </c>
      <c r="C16">
        <v>4</v>
      </c>
      <c r="D16">
        <v>1</v>
      </c>
      <c r="F16">
        <v>5</v>
      </c>
    </row>
    <row r="17" spans="1:6" x14ac:dyDescent="0.2">
      <c r="A17" s="2" t="s">
        <v>49</v>
      </c>
      <c r="D17">
        <v>2</v>
      </c>
      <c r="F17">
        <v>2</v>
      </c>
    </row>
    <row r="18" spans="1:6" x14ac:dyDescent="0.2">
      <c r="A18" s="2" t="s">
        <v>13</v>
      </c>
      <c r="B18">
        <v>4</v>
      </c>
      <c r="C18">
        <v>13</v>
      </c>
      <c r="D18">
        <v>5</v>
      </c>
      <c r="E18">
        <v>2</v>
      </c>
      <c r="F18">
        <v>24</v>
      </c>
    </row>
    <row r="19" spans="1:6" x14ac:dyDescent="0.2">
      <c r="A19" s="2" t="s">
        <v>54</v>
      </c>
      <c r="E19">
        <v>1</v>
      </c>
      <c r="F19">
        <v>1</v>
      </c>
    </row>
    <row r="20" spans="1:6" x14ac:dyDescent="0.2">
      <c r="A20" s="2" t="s">
        <v>41</v>
      </c>
      <c r="C20">
        <v>5</v>
      </c>
      <c r="D20">
        <v>7</v>
      </c>
      <c r="F20">
        <v>12</v>
      </c>
    </row>
    <row r="21" spans="1:6" x14ac:dyDescent="0.2">
      <c r="A21" s="2" t="s">
        <v>21</v>
      </c>
      <c r="B21">
        <v>1</v>
      </c>
      <c r="C21">
        <v>3</v>
      </c>
      <c r="D21">
        <v>3</v>
      </c>
      <c r="E21">
        <v>3</v>
      </c>
      <c r="F21">
        <v>10</v>
      </c>
    </row>
    <row r="22" spans="1:6" x14ac:dyDescent="0.2">
      <c r="A22" s="2" t="s">
        <v>30</v>
      </c>
      <c r="B22">
        <v>1</v>
      </c>
      <c r="C22">
        <v>3</v>
      </c>
      <c r="D22">
        <v>2</v>
      </c>
      <c r="F22">
        <v>6</v>
      </c>
    </row>
    <row r="23" spans="1:6" x14ac:dyDescent="0.2">
      <c r="A23" s="2" t="s">
        <v>25</v>
      </c>
      <c r="B23">
        <v>2</v>
      </c>
      <c r="C23">
        <v>4</v>
      </c>
      <c r="F23">
        <v>6</v>
      </c>
    </row>
    <row r="24" spans="1:6" x14ac:dyDescent="0.2">
      <c r="A24" s="2" t="s">
        <v>35</v>
      </c>
      <c r="C24">
        <v>2</v>
      </c>
      <c r="F24">
        <v>2</v>
      </c>
    </row>
    <row r="25" spans="1:6" x14ac:dyDescent="0.2">
      <c r="A25" s="2" t="s">
        <v>50</v>
      </c>
      <c r="D25">
        <v>7</v>
      </c>
      <c r="E25">
        <v>1</v>
      </c>
      <c r="F25">
        <v>8</v>
      </c>
    </row>
    <row r="26" spans="1:6" x14ac:dyDescent="0.2">
      <c r="A26" s="2" t="s">
        <v>19</v>
      </c>
      <c r="B26">
        <v>1</v>
      </c>
      <c r="D26">
        <v>6</v>
      </c>
      <c r="F26">
        <v>7</v>
      </c>
    </row>
    <row r="27" spans="1:6" x14ac:dyDescent="0.2">
      <c r="A27" s="2" t="s">
        <v>44</v>
      </c>
      <c r="C27">
        <v>2</v>
      </c>
      <c r="D27">
        <v>13</v>
      </c>
      <c r="E27">
        <v>1</v>
      </c>
      <c r="F27">
        <v>16</v>
      </c>
    </row>
    <row r="28" spans="1:6" x14ac:dyDescent="0.2">
      <c r="A28" s="2" t="s">
        <v>33</v>
      </c>
      <c r="C28">
        <v>4</v>
      </c>
      <c r="F28">
        <v>4</v>
      </c>
    </row>
    <row r="29" spans="1:6" x14ac:dyDescent="0.2">
      <c r="A29" s="2" t="s">
        <v>17</v>
      </c>
      <c r="B29">
        <v>4</v>
      </c>
      <c r="C29">
        <v>6</v>
      </c>
      <c r="D29">
        <v>1</v>
      </c>
      <c r="E29">
        <v>3</v>
      </c>
      <c r="F29">
        <v>14</v>
      </c>
    </row>
    <row r="30" spans="1:6" x14ac:dyDescent="0.2">
      <c r="A30" s="2" t="s">
        <v>38</v>
      </c>
      <c r="C30">
        <v>3</v>
      </c>
      <c r="D30">
        <v>3</v>
      </c>
      <c r="E30">
        <v>1</v>
      </c>
      <c r="F30">
        <v>7</v>
      </c>
    </row>
    <row r="31" spans="1:6" x14ac:dyDescent="0.2">
      <c r="A31" s="2" t="s">
        <v>46</v>
      </c>
      <c r="D31">
        <v>8</v>
      </c>
      <c r="E31">
        <v>2</v>
      </c>
      <c r="F31">
        <v>10</v>
      </c>
    </row>
    <row r="32" spans="1:6" x14ac:dyDescent="0.2">
      <c r="A32" s="2" t="s">
        <v>14</v>
      </c>
      <c r="B32">
        <v>3</v>
      </c>
      <c r="C32">
        <v>6</v>
      </c>
      <c r="D32">
        <v>3</v>
      </c>
      <c r="F32">
        <v>12</v>
      </c>
    </row>
    <row r="33" spans="1:6" x14ac:dyDescent="0.2">
      <c r="A33" s="2" t="s">
        <v>27</v>
      </c>
      <c r="B33">
        <v>2</v>
      </c>
      <c r="C33">
        <v>3</v>
      </c>
      <c r="D33">
        <v>1</v>
      </c>
      <c r="F33">
        <v>6</v>
      </c>
    </row>
    <row r="34" spans="1:6" x14ac:dyDescent="0.2">
      <c r="A34" s="2" t="s">
        <v>26</v>
      </c>
      <c r="B34">
        <v>2</v>
      </c>
      <c r="C34">
        <v>4</v>
      </c>
      <c r="F34">
        <v>6</v>
      </c>
    </row>
    <row r="35" spans="1:6" x14ac:dyDescent="0.2">
      <c r="A35" s="2" t="s">
        <v>29</v>
      </c>
      <c r="B35">
        <v>1</v>
      </c>
      <c r="C35">
        <v>4</v>
      </c>
      <c r="D35">
        <v>4</v>
      </c>
      <c r="F35">
        <v>9</v>
      </c>
    </row>
    <row r="36" spans="1:6" x14ac:dyDescent="0.2">
      <c r="A36" s="2" t="s">
        <v>10</v>
      </c>
      <c r="B36">
        <v>4</v>
      </c>
      <c r="F36">
        <v>4</v>
      </c>
    </row>
    <row r="37" spans="1:6" x14ac:dyDescent="0.2">
      <c r="A37" s="2" t="s">
        <v>23</v>
      </c>
      <c r="B37">
        <v>2</v>
      </c>
      <c r="F37">
        <v>2</v>
      </c>
    </row>
    <row r="38" spans="1:6" x14ac:dyDescent="0.2">
      <c r="A38" s="2" t="s">
        <v>24</v>
      </c>
      <c r="B38">
        <v>1</v>
      </c>
      <c r="C38">
        <v>4</v>
      </c>
      <c r="D38">
        <v>1</v>
      </c>
      <c r="E38">
        <v>1</v>
      </c>
      <c r="F38">
        <v>7</v>
      </c>
    </row>
    <row r="39" spans="1:6" x14ac:dyDescent="0.2">
      <c r="A39" s="2" t="s">
        <v>57</v>
      </c>
      <c r="B39">
        <v>40</v>
      </c>
      <c r="C39">
        <v>100</v>
      </c>
      <c r="D39">
        <v>100</v>
      </c>
      <c r="E39">
        <v>30</v>
      </c>
      <c r="F39">
        <v>270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8263-070D-F04B-A36C-D55EAA61B2C3}">
  <dimension ref="A3:D17"/>
  <sheetViews>
    <sheetView workbookViewId="0">
      <selection activeCell="A4" sqref="A4"/>
    </sheetView>
  </sheetViews>
  <sheetFormatPr baseColWidth="10" defaultRowHeight="16" x14ac:dyDescent="0.2"/>
  <cols>
    <col min="1" max="1" width="16" bestFit="1" customWidth="1"/>
    <col min="2" max="2" width="9.83203125" bestFit="1" customWidth="1"/>
    <col min="3" max="3" width="12.33203125" bestFit="1" customWidth="1"/>
    <col min="4" max="4" width="13.6640625" bestFit="1" customWidth="1"/>
    <col min="5" max="10" width="6.1640625" bestFit="1" customWidth="1"/>
    <col min="11" max="11" width="5.1640625" bestFit="1" customWidth="1"/>
    <col min="12" max="16" width="6.1640625" bestFit="1" customWidth="1"/>
    <col min="17" max="17" width="5.1640625" bestFit="1" customWidth="1"/>
    <col min="18" max="19" width="6.1640625" bestFit="1" customWidth="1"/>
    <col min="20" max="20" width="5.1640625" bestFit="1" customWidth="1"/>
    <col min="21" max="26" width="6.1640625" bestFit="1" customWidth="1"/>
    <col min="27" max="27" width="10.5" bestFit="1" customWidth="1"/>
  </cols>
  <sheetData>
    <row r="3" spans="1:4" x14ac:dyDescent="0.2">
      <c r="A3" s="1" t="s">
        <v>56</v>
      </c>
      <c r="B3" t="s">
        <v>59</v>
      </c>
      <c r="C3" t="s">
        <v>60</v>
      </c>
      <c r="D3" t="s">
        <v>61</v>
      </c>
    </row>
    <row r="4" spans="1:4" x14ac:dyDescent="0.2">
      <c r="A4" s="2" t="s">
        <v>16</v>
      </c>
      <c r="B4">
        <v>120.00000000000001</v>
      </c>
      <c r="C4">
        <v>2.0470000000000002</v>
      </c>
      <c r="D4">
        <v>1.395</v>
      </c>
    </row>
    <row r="5" spans="1:4" x14ac:dyDescent="0.2">
      <c r="A5" s="2" t="s">
        <v>42</v>
      </c>
      <c r="B5">
        <v>28.7</v>
      </c>
      <c r="C5">
        <v>0.56000000000000005</v>
      </c>
      <c r="D5">
        <v>0.35299999999999998</v>
      </c>
    </row>
    <row r="6" spans="1:4" x14ac:dyDescent="0.2">
      <c r="A6" s="2" t="s">
        <v>40</v>
      </c>
      <c r="B6">
        <v>30.2</v>
      </c>
      <c r="C6">
        <v>0.57399999999999995</v>
      </c>
      <c r="D6">
        <v>0.35599999999999998</v>
      </c>
    </row>
    <row r="7" spans="1:4" x14ac:dyDescent="0.2">
      <c r="A7" s="2" t="s">
        <v>47</v>
      </c>
      <c r="B7">
        <v>100.8</v>
      </c>
      <c r="C7">
        <v>1.8609999999999998</v>
      </c>
      <c r="D7">
        <v>1.105</v>
      </c>
    </row>
    <row r="8" spans="1:4" x14ac:dyDescent="0.2">
      <c r="A8" s="2" t="s">
        <v>51</v>
      </c>
      <c r="B8">
        <v>63.7</v>
      </c>
      <c r="C8">
        <v>1.2709999999999999</v>
      </c>
      <c r="D8">
        <v>0.745</v>
      </c>
    </row>
    <row r="9" spans="1:4" x14ac:dyDescent="0.2">
      <c r="A9" s="2" t="s">
        <v>43</v>
      </c>
      <c r="B9">
        <v>117.8</v>
      </c>
      <c r="C9">
        <v>2.4409999999999998</v>
      </c>
      <c r="D9">
        <v>1.254</v>
      </c>
    </row>
    <row r="10" spans="1:4" x14ac:dyDescent="0.2">
      <c r="A10" s="2" t="s">
        <v>31</v>
      </c>
      <c r="B10">
        <v>67</v>
      </c>
      <c r="C10">
        <v>1.139</v>
      </c>
      <c r="D10">
        <v>0.71700000000000008</v>
      </c>
    </row>
    <row r="11" spans="1:4" x14ac:dyDescent="0.2">
      <c r="A11" s="2" t="s">
        <v>36</v>
      </c>
      <c r="B11">
        <v>30</v>
      </c>
      <c r="C11">
        <v>0.56799999999999995</v>
      </c>
      <c r="D11">
        <v>0.33300000000000002</v>
      </c>
    </row>
    <row r="12" spans="1:4" x14ac:dyDescent="0.2">
      <c r="A12" s="2" t="s">
        <v>8</v>
      </c>
      <c r="B12">
        <v>58.3</v>
      </c>
      <c r="C12">
        <v>1.1000000000000001</v>
      </c>
      <c r="D12">
        <v>0.66700000000000004</v>
      </c>
    </row>
    <row r="13" spans="1:4" x14ac:dyDescent="0.2">
      <c r="A13" s="2" t="s">
        <v>45</v>
      </c>
      <c r="B13">
        <v>59.7</v>
      </c>
      <c r="C13">
        <v>1.0900000000000001</v>
      </c>
      <c r="D13">
        <v>0.78</v>
      </c>
    </row>
    <row r="14" spans="1:4" x14ac:dyDescent="0.2">
      <c r="A14" s="2" t="s">
        <v>12</v>
      </c>
      <c r="B14">
        <v>29.7</v>
      </c>
      <c r="C14">
        <v>0.57799999999999996</v>
      </c>
      <c r="D14">
        <v>0.313</v>
      </c>
    </row>
    <row r="15" spans="1:4" x14ac:dyDescent="0.2">
      <c r="A15" s="2" t="s">
        <v>48</v>
      </c>
      <c r="B15">
        <v>62.1</v>
      </c>
      <c r="C15">
        <v>1.3240000000000001</v>
      </c>
      <c r="D15">
        <v>0.65100000000000002</v>
      </c>
    </row>
    <row r="16" spans="1:4" x14ac:dyDescent="0.2">
      <c r="A16" s="2" t="s">
        <v>32</v>
      </c>
      <c r="B16">
        <v>60.1</v>
      </c>
      <c r="C16">
        <v>1.0899999999999999</v>
      </c>
      <c r="D16">
        <v>0.67999999999999994</v>
      </c>
    </row>
    <row r="17" spans="1:4" x14ac:dyDescent="0.2">
      <c r="A17" s="2" t="s">
        <v>57</v>
      </c>
      <c r="B17">
        <v>828.10000000000014</v>
      </c>
      <c r="C17">
        <v>15.642999999999997</v>
      </c>
      <c r="D17">
        <v>9.3490000000000002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Sheet7</vt:lpstr>
      <vt:lpstr>Sheet8</vt:lpstr>
      <vt:lpstr>Sheet1!era_avg_height</vt:lpstr>
      <vt:lpstr>Sheet2!era_avg_reb_ast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munigety</dc:creator>
  <cp:lastModifiedBy>saikiran munigety</cp:lastModifiedBy>
  <dcterms:created xsi:type="dcterms:W3CDTF">2025-11-01T00:35:53Z</dcterms:created>
  <dcterms:modified xsi:type="dcterms:W3CDTF">2025-11-03T08:23:27Z</dcterms:modified>
</cp:coreProperties>
</file>